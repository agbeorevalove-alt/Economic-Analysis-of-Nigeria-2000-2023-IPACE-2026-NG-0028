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ELCOME\Documents\"/>
    </mc:Choice>
  </mc:AlternateContent>
  <bookViews>
    <workbookView xWindow="0" yWindow="0" windowWidth="22920" windowHeight="10584" activeTab="1"/>
  </bookViews>
  <sheets>
    <sheet name="Data" sheetId="1" r:id="rId1"/>
    <sheet name="Analysis" sheetId="2" r:id="rId2"/>
  </sheets>
  <calcPr calcId="152511"/>
</workbook>
</file>

<file path=xl/calcChain.xml><?xml version="1.0" encoding="utf-8"?>
<calcChain xmlns="http://schemas.openxmlformats.org/spreadsheetml/2006/main">
  <c r="B6" i="2" l="1"/>
  <c r="C6" i="2"/>
  <c r="D6" i="2"/>
  <c r="E6" i="2"/>
  <c r="F6" i="2"/>
  <c r="B7" i="2"/>
  <c r="C7" i="2"/>
  <c r="D7" i="2"/>
  <c r="E7" i="2"/>
  <c r="F7" i="2"/>
  <c r="F9" i="2" l="1"/>
  <c r="E9" i="2"/>
  <c r="D9" i="2"/>
  <c r="F8" i="2"/>
  <c r="E8" i="2"/>
  <c r="D8" i="2"/>
  <c r="C8" i="2"/>
  <c r="C9" i="2"/>
  <c r="B9" i="2"/>
  <c r="B8" i="2"/>
</calcChain>
</file>

<file path=xl/sharedStrings.xml><?xml version="1.0" encoding="utf-8"?>
<sst xmlns="http://schemas.openxmlformats.org/spreadsheetml/2006/main" count="16" uniqueCount="13">
  <si>
    <t>YEAR</t>
  </si>
  <si>
    <t>GDP Growth</t>
  </si>
  <si>
    <t>Inflation</t>
  </si>
  <si>
    <t>Unemployment</t>
  </si>
  <si>
    <t>Exchange rate (NGN-USD)</t>
  </si>
  <si>
    <t>Variable</t>
  </si>
  <si>
    <t>Exchange Rate</t>
  </si>
  <si>
    <t>Mean(%)</t>
  </si>
  <si>
    <t>Median(%)</t>
  </si>
  <si>
    <t>Min(%)</t>
  </si>
  <si>
    <t>Max(%)</t>
  </si>
  <si>
    <t>SD(%)</t>
  </si>
  <si>
    <r>
      <rPr>
        <b/>
        <sz val="11"/>
        <color theme="1"/>
        <rFont val="Times New Roman"/>
        <family val="1"/>
      </rPr>
      <t xml:space="preserve">Economic Analysis of Nigeria (2000–2023)                                                                                                                                                                                                                                                                                                                       Economic Analysis of Nigeria (2000–2023) This analysis examines key macroeconomic indicators in Nigeria from 2000 to 2023, including GDP growth, inflation, unemployment, and exchange rate. The aim is to identify trends, measure variability, and analyze relationships between these indicators to better understand the country’s economic performance.                 </t>
    </r>
    <r>
      <rPr>
        <b/>
        <sz val="11"/>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</si>
</sst>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b/>
      <sz val="14"/>
      <color theme="0"/>
      <name val="Calibri"/>
      <family val="2"/>
      <scheme val="minor"/>
    </font>
    <font>
      <sz val="14"/>
      <color theme="1"/>
      <name val="Calibri"/>
      <family val="2"/>
      <scheme val="minor"/>
    </font>
    <font>
      <b/>
      <sz val="11"/>
      <color theme="1"/>
      <name val="Times New Roman"/>
      <family val="1"/>
    </font>
  </fonts>
  <fills count="4">
    <fill>
      <patternFill patternType="none"/>
    </fill>
    <fill>
      <patternFill patternType="gray125"/>
    </fill>
    <fill>
      <patternFill patternType="solid">
        <fgColor theme="1"/>
        <bgColor theme="1"/>
      </patternFill>
    </fill>
    <fill>
      <patternFill patternType="solid">
        <fgColor theme="6" tint="0.39997558519241921"/>
        <bgColor indexed="64"/>
      </patternFill>
    </fill>
  </fills>
  <borders count="2">
    <border>
      <left/>
      <right/>
      <top/>
      <bottom/>
      <diagonal/>
    </border>
    <border>
      <left/>
      <right/>
      <top style="thin">
        <color theme="1"/>
      </top>
      <bottom/>
      <diagonal/>
    </border>
  </borders>
  <cellStyleXfs count="1">
    <xf numFmtId="0" fontId="0" fillId="0" borderId="0"/>
  </cellStyleXfs>
  <cellXfs count="7">
    <xf numFmtId="0" fontId="0" fillId="0" borderId="0" xfId="0"/>
    <xf numFmtId="49" fontId="0" fillId="0" borderId="0" xfId="0" applyNumberFormat="1"/>
    <xf numFmtId="0" fontId="2" fillId="2" borderId="0" xfId="0" applyFont="1" applyFill="1" applyBorder="1"/>
    <xf numFmtId="0" fontId="3" fillId="0" borderId="1" xfId="0" applyFont="1" applyBorder="1"/>
    <xf numFmtId="2" fontId="3" fillId="0" borderId="1" xfId="0" applyNumberFormat="1" applyFont="1" applyBorder="1"/>
    <xf numFmtId="0" fontId="1" fillId="3" borderId="0" xfId="0" applyFont="1" applyFill="1" applyAlignment="1">
      <alignment horizontal="center" wrapText="1"/>
    </xf>
    <xf numFmtId="0" fontId="0" fillId="3" borderId="0" xfId="0" applyFill="1" applyAlignment="1">
      <alignment horizontal="center" wrapText="1"/>
    </xf>
  </cellXfs>
  <cellStyles count="1">
    <cellStyle name="Normal" xfId="0" builtinId="0"/>
  </cellStyles>
  <dxfs count="9">
    <dxf>
      <font>
        <b val="0"/>
        <i val="0"/>
        <strike val="0"/>
        <condense val="0"/>
        <extend val="0"/>
        <outline val="0"/>
        <shadow val="0"/>
        <u val="none"/>
        <vertAlign val="baseline"/>
        <sz val="14"/>
        <color theme="1"/>
        <name val="Calibri"/>
        <scheme val="minor"/>
      </font>
      <numFmt numFmtId="2" formatCode="0.00"/>
      <border diagonalUp="0" diagonalDown="0" outline="0">
        <left/>
        <right/>
        <top style="thin">
          <color theme="1"/>
        </top>
        <bottom/>
      </border>
    </dxf>
    <dxf>
      <font>
        <b val="0"/>
        <i val="0"/>
        <strike val="0"/>
        <condense val="0"/>
        <extend val="0"/>
        <outline val="0"/>
        <shadow val="0"/>
        <u val="none"/>
        <vertAlign val="baseline"/>
        <sz val="14"/>
        <color theme="1"/>
        <name val="Calibri"/>
        <scheme val="minor"/>
      </font>
      <numFmt numFmtId="2" formatCode="0.00"/>
      <border diagonalUp="0" diagonalDown="0" outline="0">
        <left/>
        <right/>
        <top style="thin">
          <color theme="1"/>
        </top>
        <bottom/>
      </border>
    </dxf>
    <dxf>
      <font>
        <b val="0"/>
        <i val="0"/>
        <strike val="0"/>
        <condense val="0"/>
        <extend val="0"/>
        <outline val="0"/>
        <shadow val="0"/>
        <u val="none"/>
        <vertAlign val="baseline"/>
        <sz val="14"/>
        <color theme="1"/>
        <name val="Calibri"/>
        <scheme val="minor"/>
      </font>
      <numFmt numFmtId="2" formatCode="0.00"/>
      <border diagonalUp="0" diagonalDown="0" outline="0">
        <left/>
        <right/>
        <top style="thin">
          <color theme="1"/>
        </top>
        <bottom/>
      </border>
    </dxf>
    <dxf>
      <font>
        <b val="0"/>
        <i val="0"/>
        <strike val="0"/>
        <condense val="0"/>
        <extend val="0"/>
        <outline val="0"/>
        <shadow val="0"/>
        <u val="none"/>
        <vertAlign val="baseline"/>
        <sz val="14"/>
        <color theme="1"/>
        <name val="Calibri"/>
        <scheme val="minor"/>
      </font>
      <numFmt numFmtId="2" formatCode="0.00"/>
      <border diagonalUp="0" diagonalDown="0" outline="0">
        <left/>
        <right/>
        <top style="thin">
          <color theme="1"/>
        </top>
        <bottom/>
      </border>
    </dxf>
    <dxf>
      <font>
        <strike val="0"/>
        <outline val="0"/>
        <shadow val="0"/>
        <u val="none"/>
        <vertAlign val="baseline"/>
        <sz val="14"/>
        <name val="Calibri"/>
        <scheme val="minor"/>
      </font>
      <numFmt numFmtId="2" formatCode="0.00"/>
      <border diagonalUp="0" diagonalDown="0" outline="0">
        <left/>
        <right/>
        <top style="thin">
          <color theme="1"/>
        </top>
        <bottom/>
      </border>
    </dxf>
    <dxf>
      <font>
        <b val="0"/>
        <i val="0"/>
        <strike val="0"/>
        <condense val="0"/>
        <extend val="0"/>
        <outline val="0"/>
        <shadow val="0"/>
        <u val="none"/>
        <vertAlign val="baseline"/>
        <sz val="14"/>
        <color theme="1"/>
        <name val="Calibri"/>
        <scheme val="minor"/>
      </font>
      <border diagonalUp="0" diagonalDown="0" outline="0">
        <left/>
        <right/>
        <top style="thin">
          <color theme="1"/>
        </top>
        <bottom/>
      </border>
    </dxf>
    <dxf>
      <border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4"/>
        <color theme="1"/>
        <name val="Calibri"/>
        <scheme val="minor"/>
      </font>
    </dxf>
    <dxf>
      <font>
        <b/>
        <i val="0"/>
        <strike val="0"/>
        <condense val="0"/>
        <extend val="0"/>
        <outline val="0"/>
        <shadow val="0"/>
        <u val="none"/>
        <vertAlign val="baseline"/>
        <sz val="14"/>
        <color theme="0"/>
        <name val="Calibri"/>
        <scheme val="minor"/>
      </font>
      <fill>
        <patternFill patternType="solid">
          <fgColor theme="1"/>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GDP Growth Trend (2000-2023)</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740354226056672"/>
          <c:y val="0.13767631774313288"/>
          <c:w val="0.843356691657562"/>
          <c:h val="0.47623884514435688"/>
        </c:manualLayout>
      </c:layout>
      <c:lineChart>
        <c:grouping val="standard"/>
        <c:varyColors val="0"/>
        <c:ser>
          <c:idx val="1"/>
          <c:order val="0"/>
          <c:tx>
            <c:v>GDP Growth</c:v>
          </c:tx>
          <c:spPr>
            <a:ln w="28575" cap="rnd">
              <a:solidFill>
                <a:schemeClr val="accent2"/>
              </a:solidFill>
              <a:round/>
            </a:ln>
            <a:effectLst/>
          </c:spPr>
          <c:marker>
            <c:symbol val="none"/>
          </c:marker>
          <c:cat>
            <c:numRef>
              <c:f>Data!$A$2:$A$25</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numCache>
            </c:numRef>
          </c:cat>
          <c:val>
            <c:numRef>
              <c:f>Data!$B$2:$B$25</c:f>
              <c:numCache>
                <c:formatCode>General</c:formatCode>
                <c:ptCount val="24"/>
                <c:pt idx="0">
                  <c:v>5.01593475931152</c:v>
                </c:pt>
                <c:pt idx="1">
                  <c:v>5.9176846492037072</c:v>
                </c:pt>
                <c:pt idx="2">
                  <c:v>15.329155740955926</c:v>
                </c:pt>
                <c:pt idx="3">
                  <c:v>7.3471949679949233</c:v>
                </c:pt>
                <c:pt idx="4">
                  <c:v>9.2505582291798021</c:v>
                </c:pt>
                <c:pt idx="5">
                  <c:v>6.4385165253834771</c:v>
                </c:pt>
                <c:pt idx="6">
                  <c:v>6.0594280320290608</c:v>
                </c:pt>
                <c:pt idx="7">
                  <c:v>6.5911303606867904</c:v>
                </c:pt>
                <c:pt idx="8">
                  <c:v>6.7644727778022826</c:v>
                </c:pt>
                <c:pt idx="9">
                  <c:v>8.0369251009902314</c:v>
                </c:pt>
                <c:pt idx="10">
                  <c:v>8.0056559162870116</c:v>
                </c:pt>
                <c:pt idx="11">
                  <c:v>5.3079242028945259</c:v>
                </c:pt>
                <c:pt idx="12">
                  <c:v>4.2300611749322314</c:v>
                </c:pt>
                <c:pt idx="13">
                  <c:v>6.6713353930616677</c:v>
                </c:pt>
                <c:pt idx="14">
                  <c:v>6.309718655254315</c:v>
                </c:pt>
                <c:pt idx="15">
                  <c:v>2.6526932954300122</c:v>
                </c:pt>
                <c:pt idx="16">
                  <c:v>-1.6168689490650934</c:v>
                </c:pt>
                <c:pt idx="17">
                  <c:v>0.80588661910243786</c:v>
                </c:pt>
                <c:pt idx="18">
                  <c:v>1.9227573420061361</c:v>
                </c:pt>
                <c:pt idx="19">
                  <c:v>2.2084292771489231</c:v>
                </c:pt>
                <c:pt idx="20">
                  <c:v>-6.368898405101092</c:v>
                </c:pt>
                <c:pt idx="21">
                  <c:v>1.1092525393816288</c:v>
                </c:pt>
                <c:pt idx="22">
                  <c:v>4.3188294952319239</c:v>
                </c:pt>
                <c:pt idx="23">
                  <c:v>3.3268455642131585</c:v>
                </c:pt>
              </c:numCache>
            </c:numRef>
          </c:val>
          <c:smooth val="0"/>
        </c:ser>
        <c:dLbls>
          <c:showLegendKey val="0"/>
          <c:showVal val="0"/>
          <c:showCatName val="0"/>
          <c:showSerName val="0"/>
          <c:showPercent val="0"/>
          <c:showBubbleSize val="0"/>
        </c:dLbls>
        <c:smooth val="0"/>
        <c:axId val="370663000"/>
        <c:axId val="370660648"/>
      </c:lineChart>
      <c:catAx>
        <c:axId val="370663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660648"/>
        <c:crosses val="autoZero"/>
        <c:auto val="1"/>
        <c:lblAlgn val="ctr"/>
        <c:lblOffset val="100"/>
        <c:noMultiLvlLbl val="0"/>
      </c:catAx>
      <c:valAx>
        <c:axId val="370660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GDP</a:t>
                </a:r>
                <a:r>
                  <a:rPr lang="en-US" baseline="0"/>
                  <a:t> Growth (%)</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663000"/>
        <c:crosses val="autoZero"/>
        <c:crossBetween val="between"/>
      </c:valAx>
      <c:spPr>
        <a:noFill/>
        <a:ln>
          <a:noFill/>
        </a:ln>
        <a:effectLst/>
      </c:spPr>
    </c:plotArea>
    <c:legend>
      <c:legendPos val="b"/>
      <c:layout>
        <c:manualLayout>
          <c:xMode val="edge"/>
          <c:yMode val="edge"/>
          <c:x val="0.4248890583041281"/>
          <c:y val="0.6777710702828813"/>
          <c:w val="0.22215357051660409"/>
          <c:h val="6.26396366378478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Inflation Trend (2000-2023)</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205886477930716"/>
          <c:y val="0.12851697851697852"/>
          <c:w val="0.84995131333774121"/>
          <c:h val="0.4659714658657928"/>
        </c:manualLayout>
      </c:layout>
      <c:lineChart>
        <c:grouping val="standard"/>
        <c:varyColors val="0"/>
        <c:ser>
          <c:idx val="1"/>
          <c:order val="0"/>
          <c:tx>
            <c:strRef>
              <c:f>Data!$C$1</c:f>
              <c:strCache>
                <c:ptCount val="1"/>
                <c:pt idx="0">
                  <c:v>Inflation</c:v>
                </c:pt>
              </c:strCache>
            </c:strRef>
          </c:tx>
          <c:spPr>
            <a:ln w="28575" cap="rnd">
              <a:solidFill>
                <a:schemeClr val="accent2"/>
              </a:solidFill>
              <a:round/>
            </a:ln>
            <a:effectLst/>
          </c:spPr>
          <c:marker>
            <c:symbol val="none"/>
          </c:marker>
          <c:cat>
            <c:numRef>
              <c:f>Data!$A$2:$A$25</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numCache>
            </c:numRef>
          </c:cat>
          <c:val>
            <c:numRef>
              <c:f>Data!$C$2:$C$25</c:f>
              <c:numCache>
                <c:formatCode>General</c:formatCode>
                <c:ptCount val="24"/>
                <c:pt idx="0">
                  <c:v>6.9332921556516096</c:v>
                </c:pt>
                <c:pt idx="1">
                  <c:v>18.873646209386269</c:v>
                </c:pt>
                <c:pt idx="2">
                  <c:v>12.87657920310988</c:v>
                </c:pt>
                <c:pt idx="3">
                  <c:v>14.031783613143659</c:v>
                </c:pt>
                <c:pt idx="4">
                  <c:v>14.99803381832513</c:v>
                </c:pt>
                <c:pt idx="5">
                  <c:v>17.86349336616049</c:v>
                </c:pt>
                <c:pt idx="6">
                  <c:v>8.2252215201704715</c:v>
                </c:pt>
                <c:pt idx="7">
                  <c:v>5.3880079685862636</c:v>
                </c:pt>
                <c:pt idx="8">
                  <c:v>11.581075174825211</c:v>
                </c:pt>
                <c:pt idx="9">
                  <c:v>12.537827730468891</c:v>
                </c:pt>
                <c:pt idx="10">
                  <c:v>13.740052136369391</c:v>
                </c:pt>
                <c:pt idx="11">
                  <c:v>10.826137188001701</c:v>
                </c:pt>
                <c:pt idx="12">
                  <c:v>12.22424130205839</c:v>
                </c:pt>
                <c:pt idx="13">
                  <c:v>8.4955183826566945</c:v>
                </c:pt>
                <c:pt idx="14">
                  <c:v>8.047410879679072</c:v>
                </c:pt>
                <c:pt idx="15">
                  <c:v>9.0094349800770637</c:v>
                </c:pt>
                <c:pt idx="16">
                  <c:v>15.69681263879716</c:v>
                </c:pt>
                <c:pt idx="17">
                  <c:v>16.502266213964109</c:v>
                </c:pt>
                <c:pt idx="18">
                  <c:v>12.09510651734316</c:v>
                </c:pt>
                <c:pt idx="19">
                  <c:v>11.39642233781162</c:v>
                </c:pt>
                <c:pt idx="20">
                  <c:v>13.24602342765969</c:v>
                </c:pt>
                <c:pt idx="21">
                  <c:v>16.95284572216077</c:v>
                </c:pt>
                <c:pt idx="22">
                  <c:v>18.847187784327449</c:v>
                </c:pt>
                <c:pt idx="23">
                  <c:v>24.65955020311397</c:v>
                </c:pt>
              </c:numCache>
            </c:numRef>
          </c:val>
          <c:smooth val="0"/>
        </c:ser>
        <c:dLbls>
          <c:showLegendKey val="0"/>
          <c:showVal val="0"/>
          <c:showCatName val="0"/>
          <c:showSerName val="0"/>
          <c:showPercent val="0"/>
          <c:showBubbleSize val="0"/>
        </c:dLbls>
        <c:smooth val="0"/>
        <c:axId val="370662608"/>
        <c:axId val="370664176"/>
      </c:lineChart>
      <c:catAx>
        <c:axId val="370662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layout>
            <c:manualLayout>
              <c:xMode val="edge"/>
              <c:yMode val="edge"/>
              <c:x val="0.45284225922141413"/>
              <c:y val="0.6915324638520000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664176"/>
        <c:crosses val="autoZero"/>
        <c:auto val="1"/>
        <c:lblAlgn val="ctr"/>
        <c:lblOffset val="100"/>
        <c:noMultiLvlLbl val="0"/>
      </c:catAx>
      <c:valAx>
        <c:axId val="370664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Inflation</a:t>
                </a:r>
                <a:r>
                  <a:rPr lang="en-US" baseline="0"/>
                  <a:t>(%)</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662608"/>
        <c:crosses val="autoZero"/>
        <c:crossBetween val="between"/>
      </c:valAx>
      <c:spPr>
        <a:noFill/>
        <a:ln>
          <a:noFill/>
        </a:ln>
        <a:effectLst/>
      </c:spPr>
    </c:plotArea>
    <c:legend>
      <c:legendPos val="b"/>
      <c:layout>
        <c:manualLayout>
          <c:xMode val="edge"/>
          <c:yMode val="edge"/>
          <c:x val="0.41143735849812668"/>
          <c:y val="0.74610840857537086"/>
          <c:w val="0.1669471659554006"/>
          <c:h val="5.847234272431122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Unemployment</a:t>
            </a:r>
            <a:r>
              <a:rPr lang="en-US" b="1" baseline="0"/>
              <a:t> Trend (2000-2023)</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924785983384981"/>
          <c:y val="0.15225779967159278"/>
          <c:w val="0.86429722700256961"/>
          <c:h val="0.4055253535568496"/>
        </c:manualLayout>
      </c:layout>
      <c:lineChart>
        <c:grouping val="standard"/>
        <c:varyColors val="0"/>
        <c:ser>
          <c:idx val="1"/>
          <c:order val="0"/>
          <c:tx>
            <c:strRef>
              <c:f>Data!$D$1</c:f>
              <c:strCache>
                <c:ptCount val="1"/>
                <c:pt idx="0">
                  <c:v>Unemployment</c:v>
                </c:pt>
              </c:strCache>
            </c:strRef>
          </c:tx>
          <c:spPr>
            <a:ln w="28575" cap="rnd">
              <a:solidFill>
                <a:schemeClr val="accent2"/>
              </a:solidFill>
              <a:round/>
            </a:ln>
            <a:effectLst/>
          </c:spPr>
          <c:marker>
            <c:symbol val="none"/>
          </c:marker>
          <c:cat>
            <c:numRef>
              <c:f>Data!$A$2:$A$25</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numCache>
            </c:numRef>
          </c:cat>
          <c:val>
            <c:numRef>
              <c:f>Data!$D$2:$D$25</c:f>
              <c:numCache>
                <c:formatCode>General</c:formatCode>
                <c:ptCount val="24"/>
                <c:pt idx="0">
                  <c:v>3.9529999999999998</c:v>
                </c:pt>
                <c:pt idx="1">
                  <c:v>3.9</c:v>
                </c:pt>
                <c:pt idx="2">
                  <c:v>3.669</c:v>
                </c:pt>
                <c:pt idx="3">
                  <c:v>3.637</c:v>
                </c:pt>
                <c:pt idx="4">
                  <c:v>3.59</c:v>
                </c:pt>
                <c:pt idx="5">
                  <c:v>3.7269999999999999</c:v>
                </c:pt>
                <c:pt idx="6">
                  <c:v>3.7490000000000001</c:v>
                </c:pt>
                <c:pt idx="7">
                  <c:v>3.794</c:v>
                </c:pt>
                <c:pt idx="8">
                  <c:v>3.7919999999999998</c:v>
                </c:pt>
                <c:pt idx="9">
                  <c:v>3.7629999999999999</c:v>
                </c:pt>
                <c:pt idx="10">
                  <c:v>3.7440000000000002</c:v>
                </c:pt>
                <c:pt idx="11">
                  <c:v>3.77</c:v>
                </c:pt>
                <c:pt idx="12">
                  <c:v>3.7610000000000001</c:v>
                </c:pt>
                <c:pt idx="13">
                  <c:v>3.7109999999999999</c:v>
                </c:pt>
                <c:pt idx="14">
                  <c:v>3.9</c:v>
                </c:pt>
                <c:pt idx="15">
                  <c:v>4.1340000000000003</c:v>
                </c:pt>
                <c:pt idx="16">
                  <c:v>4.4989999999999997</c:v>
                </c:pt>
                <c:pt idx="17">
                  <c:v>4.83</c:v>
                </c:pt>
                <c:pt idx="18">
                  <c:v>5.069</c:v>
                </c:pt>
                <c:pt idx="19">
                  <c:v>5.2060000000000004</c:v>
                </c:pt>
                <c:pt idx="20">
                  <c:v>5.7140000000000004</c:v>
                </c:pt>
                <c:pt idx="21">
                  <c:v>5.4039999999999999</c:v>
                </c:pt>
                <c:pt idx="22">
                  <c:v>3.827</c:v>
                </c:pt>
                <c:pt idx="23">
                  <c:v>3.0739999999999998</c:v>
                </c:pt>
              </c:numCache>
            </c:numRef>
          </c:val>
          <c:smooth val="0"/>
        </c:ser>
        <c:dLbls>
          <c:showLegendKey val="0"/>
          <c:showVal val="0"/>
          <c:showCatName val="0"/>
          <c:showSerName val="0"/>
          <c:showPercent val="0"/>
          <c:showBubbleSize val="0"/>
        </c:dLbls>
        <c:smooth val="0"/>
        <c:axId val="373789368"/>
        <c:axId val="373790936"/>
      </c:lineChart>
      <c:catAx>
        <c:axId val="373789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790936"/>
        <c:crosses val="autoZero"/>
        <c:auto val="1"/>
        <c:lblAlgn val="ctr"/>
        <c:lblOffset val="100"/>
        <c:noMultiLvlLbl val="0"/>
      </c:catAx>
      <c:valAx>
        <c:axId val="373790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Unemployment</a:t>
                </a:r>
                <a:r>
                  <a:rPr lang="en-US" baseline="0"/>
                  <a:t> (%)</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789368"/>
        <c:crosses val="autoZero"/>
        <c:crossBetween val="between"/>
      </c:valAx>
      <c:spPr>
        <a:noFill/>
        <a:ln>
          <a:noFill/>
        </a:ln>
        <a:effectLst/>
      </c:spPr>
    </c:plotArea>
    <c:legend>
      <c:legendPos val="b"/>
      <c:layout>
        <c:manualLayout>
          <c:xMode val="edge"/>
          <c:yMode val="edge"/>
          <c:x val="0.38763924012495565"/>
          <c:y val="0.71301562093735815"/>
          <c:w val="0.23435839459461508"/>
          <c:h val="6.927388386796477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Exchange</a:t>
            </a:r>
            <a:r>
              <a:rPr lang="en-US" b="1" baseline="0"/>
              <a:t> Rate Trend (2000-2023)</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88062848615095"/>
          <c:y val="0.13165030563811836"/>
          <c:w val="0.8332039663498223"/>
          <c:h val="0.37393730211674447"/>
        </c:manualLayout>
      </c:layout>
      <c:lineChart>
        <c:grouping val="standard"/>
        <c:varyColors val="0"/>
        <c:ser>
          <c:idx val="1"/>
          <c:order val="0"/>
          <c:tx>
            <c:strRef>
              <c:f>Data!$E$1</c:f>
              <c:strCache>
                <c:ptCount val="1"/>
                <c:pt idx="0">
                  <c:v>Exchange rate (NGN-USD)</c:v>
                </c:pt>
              </c:strCache>
            </c:strRef>
          </c:tx>
          <c:spPr>
            <a:ln w="28575" cap="rnd">
              <a:solidFill>
                <a:schemeClr val="accent2"/>
              </a:solidFill>
              <a:round/>
            </a:ln>
            <a:effectLst/>
          </c:spPr>
          <c:marker>
            <c:symbol val="none"/>
          </c:marker>
          <c:cat>
            <c:numRef>
              <c:f>Data!$A$2:$A$25</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numCache>
            </c:numRef>
          </c:cat>
          <c:val>
            <c:numRef>
              <c:f>Data!$E$2:$E$25</c:f>
              <c:numCache>
                <c:formatCode>General</c:formatCode>
                <c:ptCount val="24"/>
                <c:pt idx="0">
                  <c:v>101.6973333333333</c:v>
                </c:pt>
                <c:pt idx="1">
                  <c:v>111.23125</c:v>
                </c:pt>
                <c:pt idx="2">
                  <c:v>120.57815833333341</c:v>
                </c:pt>
                <c:pt idx="3">
                  <c:v>129.22235000000001</c:v>
                </c:pt>
                <c:pt idx="4">
                  <c:v>132.888025</c:v>
                </c:pt>
                <c:pt idx="5">
                  <c:v>131.2743333333334</c:v>
                </c:pt>
                <c:pt idx="6">
                  <c:v>128.6516666666667</c:v>
                </c:pt>
                <c:pt idx="7">
                  <c:v>125.80810833333339</c:v>
                </c:pt>
                <c:pt idx="8">
                  <c:v>118.56666666666671</c:v>
                </c:pt>
                <c:pt idx="9">
                  <c:v>148.88</c:v>
                </c:pt>
                <c:pt idx="10">
                  <c:v>150.29750000000001</c:v>
                </c:pt>
                <c:pt idx="11">
                  <c:v>153.86250000000001</c:v>
                </c:pt>
                <c:pt idx="12">
                  <c:v>157.5</c:v>
                </c:pt>
                <c:pt idx="13">
                  <c:v>157.3116666666667</c:v>
                </c:pt>
                <c:pt idx="14">
                  <c:v>158.55264166666669</c:v>
                </c:pt>
                <c:pt idx="15">
                  <c:v>192.44033333333331</c:v>
                </c:pt>
                <c:pt idx="16">
                  <c:v>253.49199999999999</c:v>
                </c:pt>
                <c:pt idx="17">
                  <c:v>305.79010916000482</c:v>
                </c:pt>
                <c:pt idx="18">
                  <c:v>306.08368824523421</c:v>
                </c:pt>
                <c:pt idx="19">
                  <c:v>306.92095149522248</c:v>
                </c:pt>
                <c:pt idx="20">
                  <c:v>358.81079725829721</c:v>
                </c:pt>
                <c:pt idx="21">
                  <c:v>401.15202922077901</c:v>
                </c:pt>
                <c:pt idx="22">
                  <c:v>425.979158066857</c:v>
                </c:pt>
                <c:pt idx="23">
                  <c:v>645.19406788320146</c:v>
                </c:pt>
              </c:numCache>
            </c:numRef>
          </c:val>
          <c:smooth val="0"/>
        </c:ser>
        <c:dLbls>
          <c:showLegendKey val="0"/>
          <c:showVal val="0"/>
          <c:showCatName val="0"/>
          <c:showSerName val="0"/>
          <c:showPercent val="0"/>
          <c:showBubbleSize val="0"/>
        </c:dLbls>
        <c:smooth val="0"/>
        <c:axId val="373785056"/>
        <c:axId val="373792112"/>
      </c:lineChart>
      <c:catAx>
        <c:axId val="373785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layout>
            <c:manualLayout>
              <c:xMode val="edge"/>
              <c:yMode val="edge"/>
              <c:x val="0.4700941676183607"/>
              <c:y val="0.6099390831018647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792112"/>
        <c:crosses val="autoZero"/>
        <c:auto val="1"/>
        <c:lblAlgn val="ctr"/>
        <c:lblOffset val="100"/>
        <c:noMultiLvlLbl val="0"/>
      </c:catAx>
      <c:valAx>
        <c:axId val="373792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Exchange</a:t>
                </a:r>
                <a:r>
                  <a:rPr lang="en-US" baseline="0"/>
                  <a:t> rate (₦)</a:t>
                </a:r>
                <a:endParaRPr lang="en-US"/>
              </a:p>
            </c:rich>
          </c:tx>
          <c:layout>
            <c:manualLayout>
              <c:xMode val="edge"/>
              <c:yMode val="edge"/>
              <c:x val="4.5279798040512111E-2"/>
              <c:y val="0.182032799380056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785056"/>
        <c:crosses val="autoZero"/>
        <c:crossBetween val="between"/>
      </c:valAx>
      <c:spPr>
        <a:noFill/>
        <a:ln>
          <a:noFill/>
        </a:ln>
        <a:effectLst/>
      </c:spPr>
    </c:plotArea>
    <c:legend>
      <c:legendPos val="b"/>
      <c:layout>
        <c:manualLayout>
          <c:xMode val="edge"/>
          <c:yMode val="edge"/>
          <c:x val="0.31135821762737675"/>
          <c:y val="0.66038772497404596"/>
          <c:w val="0.36201638917272744"/>
          <c:h val="6.91036777650950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Inflation Vs Unemployment Trend (2000-2023)</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097033681642824"/>
          <c:y val="0.13737030633785244"/>
          <c:w val="0.86847422678064323"/>
          <c:h val="0.3955192581174794"/>
        </c:manualLayout>
      </c:layout>
      <c:lineChart>
        <c:grouping val="standard"/>
        <c:varyColors val="0"/>
        <c:ser>
          <c:idx val="1"/>
          <c:order val="0"/>
          <c:tx>
            <c:strRef>
              <c:f>Data!$C$1</c:f>
              <c:strCache>
                <c:ptCount val="1"/>
                <c:pt idx="0">
                  <c:v>Inflation</c:v>
                </c:pt>
              </c:strCache>
            </c:strRef>
          </c:tx>
          <c:spPr>
            <a:ln w="28575" cap="rnd">
              <a:solidFill>
                <a:schemeClr val="accent2"/>
              </a:solidFill>
              <a:round/>
            </a:ln>
            <a:effectLst/>
          </c:spPr>
          <c:marker>
            <c:symbol val="none"/>
          </c:marker>
          <c:cat>
            <c:numRef>
              <c:f>Data!$A$2:$A$25</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numCache>
            </c:numRef>
          </c:cat>
          <c:val>
            <c:numRef>
              <c:f>Data!$C$2:$C$25</c:f>
              <c:numCache>
                <c:formatCode>General</c:formatCode>
                <c:ptCount val="24"/>
                <c:pt idx="0">
                  <c:v>6.9332921556516096</c:v>
                </c:pt>
                <c:pt idx="1">
                  <c:v>18.873646209386269</c:v>
                </c:pt>
                <c:pt idx="2">
                  <c:v>12.87657920310988</c:v>
                </c:pt>
                <c:pt idx="3">
                  <c:v>14.031783613143659</c:v>
                </c:pt>
                <c:pt idx="4">
                  <c:v>14.99803381832513</c:v>
                </c:pt>
                <c:pt idx="5">
                  <c:v>17.86349336616049</c:v>
                </c:pt>
                <c:pt idx="6">
                  <c:v>8.2252215201704715</c:v>
                </c:pt>
                <c:pt idx="7">
                  <c:v>5.3880079685862636</c:v>
                </c:pt>
                <c:pt idx="8">
                  <c:v>11.581075174825211</c:v>
                </c:pt>
                <c:pt idx="9">
                  <c:v>12.537827730468891</c:v>
                </c:pt>
                <c:pt idx="10">
                  <c:v>13.740052136369391</c:v>
                </c:pt>
                <c:pt idx="11">
                  <c:v>10.826137188001701</c:v>
                </c:pt>
                <c:pt idx="12">
                  <c:v>12.22424130205839</c:v>
                </c:pt>
                <c:pt idx="13">
                  <c:v>8.4955183826566945</c:v>
                </c:pt>
                <c:pt idx="14">
                  <c:v>8.047410879679072</c:v>
                </c:pt>
                <c:pt idx="15">
                  <c:v>9.0094349800770637</c:v>
                </c:pt>
                <c:pt idx="16">
                  <c:v>15.69681263879716</c:v>
                </c:pt>
                <c:pt idx="17">
                  <c:v>16.502266213964109</c:v>
                </c:pt>
                <c:pt idx="18">
                  <c:v>12.09510651734316</c:v>
                </c:pt>
                <c:pt idx="19">
                  <c:v>11.39642233781162</c:v>
                </c:pt>
                <c:pt idx="20">
                  <c:v>13.24602342765969</c:v>
                </c:pt>
                <c:pt idx="21">
                  <c:v>16.95284572216077</c:v>
                </c:pt>
                <c:pt idx="22">
                  <c:v>18.847187784327449</c:v>
                </c:pt>
                <c:pt idx="23">
                  <c:v>24.65955020311397</c:v>
                </c:pt>
              </c:numCache>
            </c:numRef>
          </c:val>
          <c:smooth val="0"/>
        </c:ser>
        <c:ser>
          <c:idx val="0"/>
          <c:order val="1"/>
          <c:tx>
            <c:strRef>
              <c:f>Data!$D$1</c:f>
              <c:strCache>
                <c:ptCount val="1"/>
                <c:pt idx="0">
                  <c:v>Unemployment</c:v>
                </c:pt>
              </c:strCache>
            </c:strRef>
          </c:tx>
          <c:spPr>
            <a:ln w="28575" cap="rnd">
              <a:solidFill>
                <a:schemeClr val="accent1"/>
              </a:solidFill>
              <a:round/>
            </a:ln>
            <a:effectLst/>
          </c:spPr>
          <c:marker>
            <c:symbol val="none"/>
          </c:marker>
          <c:cat>
            <c:numRef>
              <c:f>Data!$A$2:$A$25</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numCache>
            </c:numRef>
          </c:cat>
          <c:val>
            <c:numRef>
              <c:f>Data!$D$2:$D$25</c:f>
              <c:numCache>
                <c:formatCode>General</c:formatCode>
                <c:ptCount val="24"/>
                <c:pt idx="0">
                  <c:v>3.9529999999999998</c:v>
                </c:pt>
                <c:pt idx="1">
                  <c:v>3.9</c:v>
                </c:pt>
                <c:pt idx="2">
                  <c:v>3.669</c:v>
                </c:pt>
                <c:pt idx="3">
                  <c:v>3.637</c:v>
                </c:pt>
                <c:pt idx="4">
                  <c:v>3.59</c:v>
                </c:pt>
                <c:pt idx="5">
                  <c:v>3.7269999999999999</c:v>
                </c:pt>
                <c:pt idx="6">
                  <c:v>3.7490000000000001</c:v>
                </c:pt>
                <c:pt idx="7">
                  <c:v>3.794</c:v>
                </c:pt>
                <c:pt idx="8">
                  <c:v>3.7919999999999998</c:v>
                </c:pt>
                <c:pt idx="9">
                  <c:v>3.7629999999999999</c:v>
                </c:pt>
                <c:pt idx="10">
                  <c:v>3.7440000000000002</c:v>
                </c:pt>
                <c:pt idx="11">
                  <c:v>3.77</c:v>
                </c:pt>
                <c:pt idx="12">
                  <c:v>3.7610000000000001</c:v>
                </c:pt>
                <c:pt idx="13">
                  <c:v>3.7109999999999999</c:v>
                </c:pt>
                <c:pt idx="14">
                  <c:v>3.9</c:v>
                </c:pt>
                <c:pt idx="15">
                  <c:v>4.1340000000000003</c:v>
                </c:pt>
                <c:pt idx="16">
                  <c:v>4.4989999999999997</c:v>
                </c:pt>
                <c:pt idx="17">
                  <c:v>4.83</c:v>
                </c:pt>
                <c:pt idx="18">
                  <c:v>5.069</c:v>
                </c:pt>
                <c:pt idx="19">
                  <c:v>5.2060000000000004</c:v>
                </c:pt>
                <c:pt idx="20">
                  <c:v>5.7140000000000004</c:v>
                </c:pt>
                <c:pt idx="21">
                  <c:v>5.4039999999999999</c:v>
                </c:pt>
                <c:pt idx="22">
                  <c:v>3.827</c:v>
                </c:pt>
                <c:pt idx="23">
                  <c:v>3.0739999999999998</c:v>
                </c:pt>
              </c:numCache>
            </c:numRef>
          </c:val>
          <c:smooth val="0"/>
        </c:ser>
        <c:dLbls>
          <c:showLegendKey val="0"/>
          <c:showVal val="0"/>
          <c:showCatName val="0"/>
          <c:showSerName val="0"/>
          <c:showPercent val="0"/>
          <c:showBubbleSize val="0"/>
        </c:dLbls>
        <c:smooth val="0"/>
        <c:axId val="373791328"/>
        <c:axId val="373789760"/>
      </c:lineChart>
      <c:catAx>
        <c:axId val="373791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Years(2000-2023)</a:t>
                </a:r>
              </a:p>
            </c:rich>
          </c:tx>
          <c:layout>
            <c:manualLayout>
              <c:xMode val="edge"/>
              <c:yMode val="edge"/>
              <c:x val="0.42001271885250391"/>
              <c:y val="0.6412050568058742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789760"/>
        <c:crosses val="autoZero"/>
        <c:auto val="1"/>
        <c:lblAlgn val="ctr"/>
        <c:lblOffset val="100"/>
        <c:noMultiLvlLbl val="0"/>
      </c:catAx>
      <c:valAx>
        <c:axId val="373789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791328"/>
        <c:crosses val="autoZero"/>
        <c:crossBetween val="between"/>
      </c:valAx>
      <c:spPr>
        <a:noFill/>
        <a:ln>
          <a:noFill/>
        </a:ln>
        <a:effectLst/>
      </c:spPr>
    </c:plotArea>
    <c:legend>
      <c:legendPos val="b"/>
      <c:layout>
        <c:manualLayout>
          <c:xMode val="edge"/>
          <c:yMode val="edge"/>
          <c:x val="0.3010682466848828"/>
          <c:y val="0.69838576509774253"/>
          <c:w val="0.39304240184364753"/>
          <c:h val="6.81233234508518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GDP Growth vs Inflation</a:t>
            </a:r>
            <a:r>
              <a:rPr lang="en-US" b="1" baseline="0"/>
              <a:t> (2000-2023)</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76151170919574"/>
          <c:y val="0.14972892320719955"/>
          <c:w val="0.85327915720929448"/>
          <c:h val="0.44261072350004055"/>
        </c:manualLayout>
      </c:layout>
      <c:lineChart>
        <c:grouping val="standard"/>
        <c:varyColors val="0"/>
        <c:ser>
          <c:idx val="1"/>
          <c:order val="0"/>
          <c:tx>
            <c:strRef>
              <c:f>Data!$B$1</c:f>
              <c:strCache>
                <c:ptCount val="1"/>
                <c:pt idx="0">
                  <c:v>GDP Growth</c:v>
                </c:pt>
              </c:strCache>
            </c:strRef>
          </c:tx>
          <c:spPr>
            <a:ln w="28575" cap="rnd">
              <a:solidFill>
                <a:schemeClr val="accent2"/>
              </a:solidFill>
              <a:round/>
            </a:ln>
            <a:effectLst/>
          </c:spPr>
          <c:marker>
            <c:symbol val="none"/>
          </c:marker>
          <c:cat>
            <c:numRef>
              <c:f>Data!$A$2:$A$25</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numCache>
            </c:numRef>
          </c:cat>
          <c:val>
            <c:numRef>
              <c:f>Data!$B$2:$B$25</c:f>
              <c:numCache>
                <c:formatCode>General</c:formatCode>
                <c:ptCount val="24"/>
                <c:pt idx="0">
                  <c:v>5.01593475931152</c:v>
                </c:pt>
                <c:pt idx="1">
                  <c:v>5.9176846492037072</c:v>
                </c:pt>
                <c:pt idx="2">
                  <c:v>15.329155740955926</c:v>
                </c:pt>
                <c:pt idx="3">
                  <c:v>7.3471949679949233</c:v>
                </c:pt>
                <c:pt idx="4">
                  <c:v>9.2505582291798021</c:v>
                </c:pt>
                <c:pt idx="5">
                  <c:v>6.4385165253834771</c:v>
                </c:pt>
                <c:pt idx="6">
                  <c:v>6.0594280320290608</c:v>
                </c:pt>
                <c:pt idx="7">
                  <c:v>6.5911303606867904</c:v>
                </c:pt>
                <c:pt idx="8">
                  <c:v>6.7644727778022826</c:v>
                </c:pt>
                <c:pt idx="9">
                  <c:v>8.0369251009902314</c:v>
                </c:pt>
                <c:pt idx="10">
                  <c:v>8.0056559162870116</c:v>
                </c:pt>
                <c:pt idx="11">
                  <c:v>5.3079242028945259</c:v>
                </c:pt>
                <c:pt idx="12">
                  <c:v>4.2300611749322314</c:v>
                </c:pt>
                <c:pt idx="13">
                  <c:v>6.6713353930616677</c:v>
                </c:pt>
                <c:pt idx="14">
                  <c:v>6.309718655254315</c:v>
                </c:pt>
                <c:pt idx="15">
                  <c:v>2.6526932954300122</c:v>
                </c:pt>
                <c:pt idx="16">
                  <c:v>-1.6168689490650934</c:v>
                </c:pt>
                <c:pt idx="17">
                  <c:v>0.80588661910243786</c:v>
                </c:pt>
                <c:pt idx="18">
                  <c:v>1.9227573420061361</c:v>
                </c:pt>
                <c:pt idx="19">
                  <c:v>2.2084292771489231</c:v>
                </c:pt>
                <c:pt idx="20">
                  <c:v>-6.368898405101092</c:v>
                </c:pt>
                <c:pt idx="21">
                  <c:v>1.1092525393816288</c:v>
                </c:pt>
                <c:pt idx="22">
                  <c:v>4.3188294952319239</c:v>
                </c:pt>
                <c:pt idx="23">
                  <c:v>3.3268455642131585</c:v>
                </c:pt>
              </c:numCache>
            </c:numRef>
          </c:val>
          <c:smooth val="0"/>
        </c:ser>
        <c:ser>
          <c:idx val="2"/>
          <c:order val="1"/>
          <c:tx>
            <c:strRef>
              <c:f>Data!$C$1</c:f>
              <c:strCache>
                <c:ptCount val="1"/>
                <c:pt idx="0">
                  <c:v>Inflation</c:v>
                </c:pt>
              </c:strCache>
            </c:strRef>
          </c:tx>
          <c:spPr>
            <a:ln w="28575" cap="rnd">
              <a:solidFill>
                <a:schemeClr val="accent3"/>
              </a:solidFill>
              <a:round/>
            </a:ln>
            <a:effectLst/>
          </c:spPr>
          <c:marker>
            <c:symbol val="none"/>
          </c:marker>
          <c:cat>
            <c:numRef>
              <c:f>Data!$A$2:$A$25</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numCache>
            </c:numRef>
          </c:cat>
          <c:val>
            <c:numRef>
              <c:f>Data!$C$2:$C$25</c:f>
              <c:numCache>
                <c:formatCode>General</c:formatCode>
                <c:ptCount val="24"/>
                <c:pt idx="0">
                  <c:v>6.9332921556516096</c:v>
                </c:pt>
                <c:pt idx="1">
                  <c:v>18.873646209386269</c:v>
                </c:pt>
                <c:pt idx="2">
                  <c:v>12.87657920310988</c:v>
                </c:pt>
                <c:pt idx="3">
                  <c:v>14.031783613143659</c:v>
                </c:pt>
                <c:pt idx="4">
                  <c:v>14.99803381832513</c:v>
                </c:pt>
                <c:pt idx="5">
                  <c:v>17.86349336616049</c:v>
                </c:pt>
                <c:pt idx="6">
                  <c:v>8.2252215201704715</c:v>
                </c:pt>
                <c:pt idx="7">
                  <c:v>5.3880079685862636</c:v>
                </c:pt>
                <c:pt idx="8">
                  <c:v>11.581075174825211</c:v>
                </c:pt>
                <c:pt idx="9">
                  <c:v>12.537827730468891</c:v>
                </c:pt>
                <c:pt idx="10">
                  <c:v>13.740052136369391</c:v>
                </c:pt>
                <c:pt idx="11">
                  <c:v>10.826137188001701</c:v>
                </c:pt>
                <c:pt idx="12">
                  <c:v>12.22424130205839</c:v>
                </c:pt>
                <c:pt idx="13">
                  <c:v>8.4955183826566945</c:v>
                </c:pt>
                <c:pt idx="14">
                  <c:v>8.047410879679072</c:v>
                </c:pt>
                <c:pt idx="15">
                  <c:v>9.0094349800770637</c:v>
                </c:pt>
                <c:pt idx="16">
                  <c:v>15.69681263879716</c:v>
                </c:pt>
                <c:pt idx="17">
                  <c:v>16.502266213964109</c:v>
                </c:pt>
                <c:pt idx="18">
                  <c:v>12.09510651734316</c:v>
                </c:pt>
                <c:pt idx="19">
                  <c:v>11.39642233781162</c:v>
                </c:pt>
                <c:pt idx="20">
                  <c:v>13.24602342765969</c:v>
                </c:pt>
                <c:pt idx="21">
                  <c:v>16.95284572216077</c:v>
                </c:pt>
                <c:pt idx="22">
                  <c:v>18.847187784327449</c:v>
                </c:pt>
                <c:pt idx="23">
                  <c:v>24.65955020311397</c:v>
                </c:pt>
              </c:numCache>
            </c:numRef>
          </c:val>
          <c:smooth val="0"/>
        </c:ser>
        <c:dLbls>
          <c:showLegendKey val="0"/>
          <c:showVal val="0"/>
          <c:showCatName val="0"/>
          <c:showSerName val="0"/>
          <c:showPercent val="0"/>
          <c:showBubbleSize val="0"/>
        </c:dLbls>
        <c:smooth val="0"/>
        <c:axId val="300464856"/>
        <c:axId val="300466424"/>
      </c:lineChart>
      <c:catAx>
        <c:axId val="300464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layout>
            <c:manualLayout>
              <c:xMode val="edge"/>
              <c:yMode val="edge"/>
              <c:x val="0.45130158572200146"/>
              <c:y val="0.600414264299351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466424"/>
        <c:crosses val="autoZero"/>
        <c:auto val="1"/>
        <c:lblAlgn val="ctr"/>
        <c:lblOffset val="100"/>
        <c:noMultiLvlLbl val="0"/>
      </c:catAx>
      <c:valAx>
        <c:axId val="300466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464856"/>
        <c:crosses val="autoZero"/>
        <c:crossBetween val="between"/>
      </c:valAx>
      <c:spPr>
        <a:noFill/>
        <a:ln>
          <a:noFill/>
        </a:ln>
        <a:effectLst/>
      </c:spPr>
    </c:plotArea>
    <c:legend>
      <c:legendPos val="b"/>
      <c:layout>
        <c:manualLayout>
          <c:xMode val="edge"/>
          <c:yMode val="edge"/>
          <c:x val="0.29770608407159543"/>
          <c:y val="0.65206504235637874"/>
          <c:w val="0.37919057236173093"/>
          <c:h val="6.812330179671020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0</xdr:rowOff>
    </xdr:from>
    <xdr:to>
      <xdr:col>6</xdr:col>
      <xdr:colOff>205740</xdr:colOff>
      <xdr:row>27</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190500</xdr:colOff>
      <xdr:row>9</xdr:row>
      <xdr:rowOff>0</xdr:rowOff>
    </xdr:from>
    <xdr:to>
      <xdr:col>14</xdr:col>
      <xdr:colOff>304800</xdr:colOff>
      <xdr:row>27</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27</xdr:row>
      <xdr:rowOff>7620</xdr:rowOff>
    </xdr:from>
    <xdr:to>
      <xdr:col>6</xdr:col>
      <xdr:colOff>182880</xdr:colOff>
      <xdr:row>44</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190500</xdr:colOff>
      <xdr:row>27</xdr:row>
      <xdr:rowOff>7620</xdr:rowOff>
    </xdr:from>
    <xdr:to>
      <xdr:col>14</xdr:col>
      <xdr:colOff>304800</xdr:colOff>
      <xdr:row>44</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44</xdr:row>
      <xdr:rowOff>1</xdr:rowOff>
    </xdr:from>
    <xdr:to>
      <xdr:col>6</xdr:col>
      <xdr:colOff>174172</xdr:colOff>
      <xdr:row>61</xdr:row>
      <xdr:rowOff>119062</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185057</xdr:colOff>
      <xdr:row>44</xdr:row>
      <xdr:rowOff>1161</xdr:rowOff>
    </xdr:from>
    <xdr:to>
      <xdr:col>14</xdr:col>
      <xdr:colOff>304800</xdr:colOff>
      <xdr:row>61</xdr:row>
      <xdr:rowOff>130968</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120969</xdr:colOff>
      <xdr:row>4</xdr:row>
      <xdr:rowOff>154780</xdr:rowOff>
    </xdr:from>
    <xdr:to>
      <xdr:col>23</xdr:col>
      <xdr:colOff>166688</xdr:colOff>
      <xdr:row>4</xdr:row>
      <xdr:rowOff>200499</xdr:rowOff>
    </xdr:to>
    <xdr:sp macro="" textlink="">
      <xdr:nvSpPr>
        <xdr:cNvPr id="9" name="TextBox 8"/>
        <xdr:cNvSpPr txBox="1"/>
      </xdr:nvSpPr>
      <xdr:spPr>
        <a:xfrm flipH="1" flipV="1">
          <a:off x="16468250" y="1047749"/>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1"/>
        </a:p>
      </xdr:txBody>
    </xdr:sp>
    <xdr:clientData/>
  </xdr:twoCellAnchor>
</xdr:wsDr>
</file>

<file path=xl/drawings/drawing2.xml><?xml version="1.0" encoding="utf-8"?>
<c:userShapes xmlns:c="http://schemas.openxmlformats.org/drawingml/2006/chart">
  <cdr:relSizeAnchor xmlns:cdr="http://schemas.openxmlformats.org/drawingml/2006/chartDrawing">
    <cdr:from>
      <cdr:x>0.00476</cdr:x>
      <cdr:y>0.81737</cdr:y>
    </cdr:from>
    <cdr:to>
      <cdr:x>0.38417</cdr:x>
      <cdr:y>0.94655</cdr:y>
    </cdr:to>
    <cdr:sp macro="" textlink="">
      <cdr:nvSpPr>
        <cdr:cNvPr id="2" name="TextBox 1"/>
        <cdr:cNvSpPr txBox="1"/>
      </cdr:nvSpPr>
      <cdr:spPr>
        <a:xfrm xmlns:a="http://schemas.openxmlformats.org/drawingml/2006/main">
          <a:off x="43543" y="2796540"/>
          <a:ext cx="3469277" cy="441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0.07225</cdr:x>
      <cdr:y>0.73585</cdr:y>
    </cdr:from>
    <cdr:to>
      <cdr:x>0.96709</cdr:x>
      <cdr:y>0.92711</cdr:y>
    </cdr:to>
    <cdr:sp macro="" textlink="">
      <cdr:nvSpPr>
        <cdr:cNvPr id="3" name="TextBox 2"/>
        <cdr:cNvSpPr txBox="1"/>
      </cdr:nvSpPr>
      <cdr:spPr>
        <a:xfrm xmlns:a="http://schemas.openxmlformats.org/drawingml/2006/main">
          <a:off x="452352" y="2342985"/>
          <a:ext cx="5602526" cy="609013"/>
        </a:xfrm>
        <a:prstGeom xmlns:a="http://schemas.openxmlformats.org/drawingml/2006/main" prst="rect">
          <a:avLst/>
        </a:prstGeom>
      </cdr:spPr>
      <cdr:txBody>
        <a:bodyPr xmlns:a="http://schemas.openxmlformats.org/drawingml/2006/main" vertOverflow="overflow" horzOverflow="overflow" wrap="square" rtlCol="0" anchor="ctr">
          <a:spAutoFit/>
        </a:bodyPr>
        <a:lstStyle xmlns:a="http://schemas.openxmlformats.org/drawingml/2006/main"/>
        <a:p xmlns:a="http://schemas.openxmlformats.org/drawingml/2006/main">
          <a:pPr algn="l"/>
          <a:r>
            <a:rPr lang="en-US" sz="1100"/>
            <a:t>GDP growth averages 4.82%, indicating moderate economic performance. However, the wide gap between the maximum (15.33%) and minimum (-6.37%) indicates significant fluctuations and economic instability over time.</a:t>
          </a:r>
        </a:p>
      </cdr:txBody>
    </cdr:sp>
  </cdr:relSizeAnchor>
</c:userShapes>
</file>

<file path=xl/drawings/drawing3.xml><?xml version="1.0" encoding="utf-8"?>
<c:userShapes xmlns:c="http://schemas.openxmlformats.org/drawingml/2006/chart">
  <cdr:relSizeAnchor xmlns:cdr="http://schemas.openxmlformats.org/drawingml/2006/chartDrawing">
    <cdr:from>
      <cdr:x>0.05802</cdr:x>
      <cdr:y>0.84407</cdr:y>
    </cdr:from>
    <cdr:to>
      <cdr:x>0.93893</cdr:x>
      <cdr:y>0.95426</cdr:y>
    </cdr:to>
    <cdr:sp macro="" textlink="">
      <cdr:nvSpPr>
        <cdr:cNvPr id="2" name="TextBox 1"/>
        <cdr:cNvSpPr txBox="1"/>
      </cdr:nvSpPr>
      <cdr:spPr>
        <a:xfrm xmlns:a="http://schemas.openxmlformats.org/drawingml/2006/main">
          <a:off x="289560" y="3093720"/>
          <a:ext cx="4396740" cy="4038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0.0458</cdr:x>
      <cdr:y>0.80457</cdr:y>
    </cdr:from>
    <cdr:to>
      <cdr:x>0.96031</cdr:x>
      <cdr:y>0.95426</cdr:y>
    </cdr:to>
    <cdr:sp macro="" textlink="">
      <cdr:nvSpPr>
        <cdr:cNvPr id="3" name="TextBox 2"/>
        <cdr:cNvSpPr txBox="1"/>
      </cdr:nvSpPr>
      <cdr:spPr>
        <a:xfrm xmlns:a="http://schemas.openxmlformats.org/drawingml/2006/main">
          <a:off x="228600" y="2648528"/>
          <a:ext cx="4564380" cy="492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Inflation has a high average of 13.13%, with values ranging from 5.39% to 24.66%, indicating persistent and volatile price levels in the economy.</a:t>
          </a:r>
        </a:p>
      </cdr:txBody>
    </cdr:sp>
  </cdr:relSizeAnchor>
</c:userShapes>
</file>

<file path=xl/drawings/drawing4.xml><?xml version="1.0" encoding="utf-8"?>
<c:userShapes xmlns:c="http://schemas.openxmlformats.org/drawingml/2006/chart">
  <cdr:relSizeAnchor xmlns:cdr="http://schemas.openxmlformats.org/drawingml/2006/chartDrawing">
    <cdr:from>
      <cdr:x>0.02605</cdr:x>
      <cdr:y>0.77887</cdr:y>
    </cdr:from>
    <cdr:to>
      <cdr:x>0.97106</cdr:x>
      <cdr:y>0.94595</cdr:y>
    </cdr:to>
    <cdr:sp macro="" textlink="">
      <cdr:nvSpPr>
        <cdr:cNvPr id="2" name="TextBox 1"/>
        <cdr:cNvSpPr txBox="1"/>
      </cdr:nvSpPr>
      <cdr:spPr>
        <a:xfrm xmlns:a="http://schemas.openxmlformats.org/drawingml/2006/main">
          <a:off x="137160" y="2415540"/>
          <a:ext cx="4975860" cy="5181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Unemployment averages 4.09% with relatively low variation, indicating a fairly stable but consistent level of unemployment over the years.</a:t>
          </a:r>
        </a:p>
      </cdr:txBody>
    </cdr:sp>
  </cdr:relSizeAnchor>
</c:userShapes>
</file>

<file path=xl/drawings/drawing5.xml><?xml version="1.0" encoding="utf-8"?>
<c:userShapes xmlns:c="http://schemas.openxmlformats.org/drawingml/2006/chart">
  <cdr:relSizeAnchor xmlns:cdr="http://schemas.openxmlformats.org/drawingml/2006/chartDrawing">
    <cdr:from>
      <cdr:x>0.02396</cdr:x>
      <cdr:y>0.7283</cdr:y>
    </cdr:from>
    <cdr:to>
      <cdr:x>0.97863</cdr:x>
      <cdr:y>1</cdr:y>
    </cdr:to>
    <cdr:sp macro="" textlink="">
      <cdr:nvSpPr>
        <cdr:cNvPr id="2" name="TextBox 1"/>
        <cdr:cNvSpPr txBox="1"/>
      </cdr:nvSpPr>
      <cdr:spPr>
        <a:xfrm xmlns:a="http://schemas.openxmlformats.org/drawingml/2006/main">
          <a:off x="119580" y="2258700"/>
          <a:ext cx="4764840" cy="84263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The exchange rate shows a high average of 217.59 and a very large variation, ranging from 101.69 to 645.19, indicating significant depreciation and instability of the naira, which may reflect external shocks and policy changes over time.</a:t>
          </a:r>
        </a:p>
      </cdr:txBody>
    </cdr:sp>
  </cdr:relSizeAnchor>
</c:userShapes>
</file>

<file path=xl/drawings/drawing6.xml><?xml version="1.0" encoding="utf-8"?>
<c:userShapes xmlns:c="http://schemas.openxmlformats.org/drawingml/2006/chart">
  <cdr:relSizeAnchor xmlns:cdr="http://schemas.openxmlformats.org/drawingml/2006/chartDrawing">
    <cdr:from>
      <cdr:x>0.02613</cdr:x>
      <cdr:y>0.74118</cdr:y>
    </cdr:from>
    <cdr:to>
      <cdr:x>1</cdr:x>
      <cdr:y>0.99216</cdr:y>
    </cdr:to>
    <cdr:sp macro="" textlink="">
      <cdr:nvSpPr>
        <cdr:cNvPr id="2" name="TextBox 1"/>
        <cdr:cNvSpPr txBox="1"/>
      </cdr:nvSpPr>
      <cdr:spPr>
        <a:xfrm xmlns:a="http://schemas.openxmlformats.org/drawingml/2006/main">
          <a:off x="137409" y="2360950"/>
          <a:ext cx="5120927" cy="7994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Inflation and unemployment do not move consistently together over time. For instance, between 2016 and 2020, both variables increased, suggesting economic stress, possibly linked to Nigeria’s recession and rising cost of living. However, in earlier years, the relationship was less clear, indicating a weak and unstable connection between the two variables.</a:t>
          </a:r>
        </a:p>
      </cdr:txBody>
    </cdr:sp>
  </cdr:relSizeAnchor>
</c:userShapes>
</file>

<file path=xl/drawings/drawing7.xml><?xml version="1.0" encoding="utf-8"?>
<c:userShapes xmlns:c="http://schemas.openxmlformats.org/drawingml/2006/chart">
  <cdr:relSizeAnchor xmlns:cdr="http://schemas.openxmlformats.org/drawingml/2006/chartDrawing">
    <cdr:from>
      <cdr:x>0.07268</cdr:x>
      <cdr:y>0.81613</cdr:y>
    </cdr:from>
    <cdr:to>
      <cdr:x>0.96663</cdr:x>
      <cdr:y>0.9687</cdr:y>
    </cdr:to>
    <cdr:sp macro="" textlink="">
      <cdr:nvSpPr>
        <cdr:cNvPr id="2" name="TextBox 1"/>
        <cdr:cNvSpPr txBox="1"/>
      </cdr:nvSpPr>
      <cdr:spPr>
        <a:xfrm xmlns:a="http://schemas.openxmlformats.org/drawingml/2006/main">
          <a:off x="364582" y="2605916"/>
          <a:ext cx="4484558" cy="4871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0.10031</cdr:x>
      <cdr:y>0.8287</cdr:y>
    </cdr:from>
    <cdr:to>
      <cdr:x>0.96201</cdr:x>
      <cdr:y>0.9584</cdr:y>
    </cdr:to>
    <cdr:sp macro="" textlink="">
      <cdr:nvSpPr>
        <cdr:cNvPr id="3" name="TextBox 2"/>
        <cdr:cNvSpPr txBox="1"/>
      </cdr:nvSpPr>
      <cdr:spPr>
        <a:xfrm xmlns:a="http://schemas.openxmlformats.org/drawingml/2006/main">
          <a:off x="499974" y="2606547"/>
          <a:ext cx="4294909" cy="40793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0.03175</cdr:x>
      <cdr:y>0.7039</cdr:y>
    </cdr:from>
    <cdr:to>
      <cdr:x>1</cdr:x>
      <cdr:y>0.96085</cdr:y>
    </cdr:to>
    <cdr:sp macro="" textlink="">
      <cdr:nvSpPr>
        <cdr:cNvPr id="4" name="TextBox 3"/>
        <cdr:cNvSpPr txBox="1"/>
      </cdr:nvSpPr>
      <cdr:spPr>
        <a:xfrm xmlns:a="http://schemas.openxmlformats.org/drawingml/2006/main">
          <a:off x="158228" y="2213999"/>
          <a:ext cx="4826000" cy="8081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The chart shows that higher inflation is often associated with lower or unstable GDP growth. This is particularly evident around 2016, when inflation rose sharply while GDP growth declined, reflecting economic downturn conditions. Overall, rising prices appear to negatively affect economic performance in Nigeria.</a:t>
          </a:r>
        </a:p>
      </cdr:txBody>
    </cdr:sp>
  </cdr:relSizeAnchor>
</c:userShapes>
</file>

<file path=xl/tables/table1.xml><?xml version="1.0" encoding="utf-8"?>
<table xmlns="http://schemas.openxmlformats.org/spreadsheetml/2006/main" id="1" name="Table1" displayName="Table1" ref="A1:E25" totalsRowShown="0">
  <autoFilter ref="A1:E25"/>
  <tableColumns count="5">
    <tableColumn id="1" name="YEAR" dataCellStyle="Normal"/>
    <tableColumn id="2" name="GDP Growth"/>
    <tableColumn id="3" name="Inflation"/>
    <tableColumn id="4" name="Unemployment" dataCellStyle="Normal"/>
    <tableColumn id="5" name="Exchange rate (NGN-USD)"/>
  </tableColumns>
  <tableStyleInfo name="TableStyleLight8" showFirstColumn="0" showLastColumn="0" showRowStripes="1" showColumnStripes="0"/>
</table>
</file>

<file path=xl/tables/table2.xml><?xml version="1.0" encoding="utf-8"?>
<table xmlns="http://schemas.openxmlformats.org/spreadsheetml/2006/main" id="2" name="Table43" displayName="Table43" ref="A5:F9" totalsRowShown="0" headerRowDxfId="8" dataDxfId="7" tableBorderDxfId="6">
  <autoFilter ref="A5:F9"/>
  <tableColumns count="6">
    <tableColumn id="1" name="Variable" dataDxfId="5"/>
    <tableColumn id="2" name="Mean(%)" dataDxfId="4"/>
    <tableColumn id="3" name="Median(%)" dataDxfId="3"/>
    <tableColumn id="4" name="Min(%)" dataDxfId="2"/>
    <tableColumn id="5" name="Max(%)" dataDxfId="1"/>
    <tableColumn id="6" name="SD(%)"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zoomScaleNormal="100" workbookViewId="0">
      <selection activeCell="I30" sqref="I30"/>
    </sheetView>
  </sheetViews>
  <sheetFormatPr defaultRowHeight="14.4" x14ac:dyDescent="0.3"/>
  <cols>
    <col min="1" max="1" width="12.88671875" bestFit="1" customWidth="1"/>
    <col min="2" max="2" width="13.44140625" bestFit="1" customWidth="1"/>
    <col min="3" max="3" width="12" bestFit="1" customWidth="1"/>
    <col min="4" max="4" width="16.5546875" bestFit="1" customWidth="1"/>
    <col min="5" max="5" width="25.21875" bestFit="1" customWidth="1"/>
    <col min="7" max="7" width="13.6640625" bestFit="1" customWidth="1"/>
    <col min="8" max="9" width="12" bestFit="1" customWidth="1"/>
    <col min="10" max="10" width="12.6640625" bestFit="1" customWidth="1"/>
    <col min="11" max="12" width="12" bestFit="1" customWidth="1"/>
  </cols>
  <sheetData>
    <row r="1" spans="1:5" x14ac:dyDescent="0.3">
      <c r="A1" t="s">
        <v>0</v>
      </c>
      <c r="B1" s="1" t="s">
        <v>1</v>
      </c>
      <c r="C1" t="s">
        <v>2</v>
      </c>
      <c r="D1" t="s">
        <v>3</v>
      </c>
      <c r="E1" t="s">
        <v>4</v>
      </c>
    </row>
    <row r="2" spans="1:5" x14ac:dyDescent="0.3">
      <c r="A2">
        <v>2000</v>
      </c>
      <c r="B2">
        <v>5.01593475931152</v>
      </c>
      <c r="C2">
        <v>6.9332921556516096</v>
      </c>
      <c r="D2">
        <v>3.9529999999999998</v>
      </c>
      <c r="E2">
        <v>101.6973333333333</v>
      </c>
    </row>
    <row r="3" spans="1:5" x14ac:dyDescent="0.3">
      <c r="A3">
        <v>2001</v>
      </c>
      <c r="B3">
        <v>5.9176846492037072</v>
      </c>
      <c r="C3">
        <v>18.873646209386269</v>
      </c>
      <c r="D3">
        <v>3.9</v>
      </c>
      <c r="E3">
        <v>111.23125</v>
      </c>
    </row>
    <row r="4" spans="1:5" x14ac:dyDescent="0.3">
      <c r="A4">
        <v>2002</v>
      </c>
      <c r="B4">
        <v>15.329155740955926</v>
      </c>
      <c r="C4">
        <v>12.87657920310988</v>
      </c>
      <c r="D4">
        <v>3.669</v>
      </c>
      <c r="E4">
        <v>120.57815833333341</v>
      </c>
    </row>
    <row r="5" spans="1:5" x14ac:dyDescent="0.3">
      <c r="A5">
        <v>2003</v>
      </c>
      <c r="B5">
        <v>7.3471949679949233</v>
      </c>
      <c r="C5">
        <v>14.031783613143659</v>
      </c>
      <c r="D5">
        <v>3.637</v>
      </c>
      <c r="E5">
        <v>129.22235000000001</v>
      </c>
    </row>
    <row r="6" spans="1:5" x14ac:dyDescent="0.3">
      <c r="A6">
        <v>2004</v>
      </c>
      <c r="B6">
        <v>9.2505582291798021</v>
      </c>
      <c r="C6">
        <v>14.99803381832513</v>
      </c>
      <c r="D6">
        <v>3.59</v>
      </c>
      <c r="E6">
        <v>132.888025</v>
      </c>
    </row>
    <row r="7" spans="1:5" x14ac:dyDescent="0.3">
      <c r="A7">
        <v>2005</v>
      </c>
      <c r="B7">
        <v>6.4385165253834771</v>
      </c>
      <c r="C7">
        <v>17.86349336616049</v>
      </c>
      <c r="D7">
        <v>3.7269999999999999</v>
      </c>
      <c r="E7">
        <v>131.2743333333334</v>
      </c>
    </row>
    <row r="8" spans="1:5" x14ac:dyDescent="0.3">
      <c r="A8">
        <v>2006</v>
      </c>
      <c r="B8">
        <v>6.0594280320290608</v>
      </c>
      <c r="C8">
        <v>8.2252215201704715</v>
      </c>
      <c r="D8">
        <v>3.7490000000000001</v>
      </c>
      <c r="E8">
        <v>128.6516666666667</v>
      </c>
    </row>
    <row r="9" spans="1:5" x14ac:dyDescent="0.3">
      <c r="A9">
        <v>2007</v>
      </c>
      <c r="B9">
        <v>6.5911303606867904</v>
      </c>
      <c r="C9">
        <v>5.3880079685862636</v>
      </c>
      <c r="D9">
        <v>3.794</v>
      </c>
      <c r="E9">
        <v>125.80810833333339</v>
      </c>
    </row>
    <row r="10" spans="1:5" x14ac:dyDescent="0.3">
      <c r="A10">
        <v>2008</v>
      </c>
      <c r="B10">
        <v>6.7644727778022826</v>
      </c>
      <c r="C10">
        <v>11.581075174825211</v>
      </c>
      <c r="D10">
        <v>3.7919999999999998</v>
      </c>
      <c r="E10">
        <v>118.56666666666671</v>
      </c>
    </row>
    <row r="11" spans="1:5" x14ac:dyDescent="0.3">
      <c r="A11">
        <v>2009</v>
      </c>
      <c r="B11">
        <v>8.0369251009902314</v>
      </c>
      <c r="C11">
        <v>12.537827730468891</v>
      </c>
      <c r="D11">
        <v>3.7629999999999999</v>
      </c>
      <c r="E11">
        <v>148.88</v>
      </c>
    </row>
    <row r="12" spans="1:5" x14ac:dyDescent="0.3">
      <c r="A12">
        <v>2010</v>
      </c>
      <c r="B12">
        <v>8.0056559162870116</v>
      </c>
      <c r="C12">
        <v>13.740052136369391</v>
      </c>
      <c r="D12">
        <v>3.7440000000000002</v>
      </c>
      <c r="E12">
        <v>150.29750000000001</v>
      </c>
    </row>
    <row r="13" spans="1:5" x14ac:dyDescent="0.3">
      <c r="A13">
        <v>2011</v>
      </c>
      <c r="B13">
        <v>5.3079242028945259</v>
      </c>
      <c r="C13">
        <v>10.826137188001701</v>
      </c>
      <c r="D13">
        <v>3.77</v>
      </c>
      <c r="E13">
        <v>153.86250000000001</v>
      </c>
    </row>
    <row r="14" spans="1:5" x14ac:dyDescent="0.3">
      <c r="A14">
        <v>2012</v>
      </c>
      <c r="B14">
        <v>4.2300611749322314</v>
      </c>
      <c r="C14">
        <v>12.22424130205839</v>
      </c>
      <c r="D14">
        <v>3.7610000000000001</v>
      </c>
      <c r="E14">
        <v>157.5</v>
      </c>
    </row>
    <row r="15" spans="1:5" x14ac:dyDescent="0.3">
      <c r="A15">
        <v>2013</v>
      </c>
      <c r="B15">
        <v>6.6713353930616677</v>
      </c>
      <c r="C15">
        <v>8.4955183826566945</v>
      </c>
      <c r="D15">
        <v>3.7109999999999999</v>
      </c>
      <c r="E15">
        <v>157.3116666666667</v>
      </c>
    </row>
    <row r="16" spans="1:5" x14ac:dyDescent="0.3">
      <c r="A16">
        <v>2014</v>
      </c>
      <c r="B16">
        <v>6.309718655254315</v>
      </c>
      <c r="C16">
        <v>8.047410879679072</v>
      </c>
      <c r="D16">
        <v>3.9</v>
      </c>
      <c r="E16">
        <v>158.55264166666669</v>
      </c>
    </row>
    <row r="17" spans="1:5" x14ac:dyDescent="0.3">
      <c r="A17">
        <v>2015</v>
      </c>
      <c r="B17">
        <v>2.6526932954300122</v>
      </c>
      <c r="C17">
        <v>9.0094349800770637</v>
      </c>
      <c r="D17">
        <v>4.1340000000000003</v>
      </c>
      <c r="E17">
        <v>192.44033333333331</v>
      </c>
    </row>
    <row r="18" spans="1:5" x14ac:dyDescent="0.3">
      <c r="A18">
        <v>2016</v>
      </c>
      <c r="B18">
        <v>-1.6168689490650934</v>
      </c>
      <c r="C18">
        <v>15.69681263879716</v>
      </c>
      <c r="D18">
        <v>4.4989999999999997</v>
      </c>
      <c r="E18">
        <v>253.49199999999999</v>
      </c>
    </row>
    <row r="19" spans="1:5" x14ac:dyDescent="0.3">
      <c r="A19">
        <v>2017</v>
      </c>
      <c r="B19">
        <v>0.80588661910243786</v>
      </c>
      <c r="C19">
        <v>16.502266213964109</v>
      </c>
      <c r="D19">
        <v>4.83</v>
      </c>
      <c r="E19">
        <v>305.79010916000482</v>
      </c>
    </row>
    <row r="20" spans="1:5" x14ac:dyDescent="0.3">
      <c r="A20">
        <v>2018</v>
      </c>
      <c r="B20">
        <v>1.9227573420061361</v>
      </c>
      <c r="C20">
        <v>12.09510651734316</v>
      </c>
      <c r="D20">
        <v>5.069</v>
      </c>
      <c r="E20">
        <v>306.08368824523421</v>
      </c>
    </row>
    <row r="21" spans="1:5" x14ac:dyDescent="0.3">
      <c r="A21">
        <v>2019</v>
      </c>
      <c r="B21">
        <v>2.2084292771489231</v>
      </c>
      <c r="C21">
        <v>11.39642233781162</v>
      </c>
      <c r="D21">
        <v>5.2060000000000004</v>
      </c>
      <c r="E21">
        <v>306.92095149522248</v>
      </c>
    </row>
    <row r="22" spans="1:5" x14ac:dyDescent="0.3">
      <c r="A22">
        <v>2020</v>
      </c>
      <c r="B22">
        <v>-6.368898405101092</v>
      </c>
      <c r="C22">
        <v>13.24602342765969</v>
      </c>
      <c r="D22">
        <v>5.7140000000000004</v>
      </c>
      <c r="E22">
        <v>358.81079725829721</v>
      </c>
    </row>
    <row r="23" spans="1:5" x14ac:dyDescent="0.3">
      <c r="A23">
        <v>2021</v>
      </c>
      <c r="B23">
        <v>1.1092525393816288</v>
      </c>
      <c r="C23">
        <v>16.95284572216077</v>
      </c>
      <c r="D23">
        <v>5.4039999999999999</v>
      </c>
      <c r="E23">
        <v>401.15202922077901</v>
      </c>
    </row>
    <row r="24" spans="1:5" x14ac:dyDescent="0.3">
      <c r="A24">
        <v>2022</v>
      </c>
      <c r="B24">
        <v>4.3188294952319239</v>
      </c>
      <c r="C24">
        <v>18.847187784327449</v>
      </c>
      <c r="D24">
        <v>3.827</v>
      </c>
      <c r="E24">
        <v>425.979158066857</v>
      </c>
    </row>
    <row r="25" spans="1:5" x14ac:dyDescent="0.3">
      <c r="A25">
        <v>2023</v>
      </c>
      <c r="B25">
        <v>3.3268455642131585</v>
      </c>
      <c r="C25">
        <v>24.65955020311397</v>
      </c>
      <c r="D25">
        <v>3.0739999999999998</v>
      </c>
      <c r="E25">
        <v>645.19406788320146</v>
      </c>
    </row>
  </sheetData>
  <pageMargins left="0.7" right="0.7" top="0.75" bottom="0.75" header="0.3" footer="0.3"/>
  <pageSetup orientation="portrait" horizontalDpi="4294967295" verticalDpi="4294967295"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
  <sheetViews>
    <sheetView tabSelected="1" zoomScale="57" zoomScaleNormal="57" workbookViewId="0">
      <selection activeCell="T25" sqref="T25"/>
    </sheetView>
  </sheetViews>
  <sheetFormatPr defaultRowHeight="14.4" x14ac:dyDescent="0.3"/>
  <cols>
    <col min="1" max="1" width="15.77734375" bestFit="1" customWidth="1"/>
    <col min="2" max="2" width="15" bestFit="1" customWidth="1"/>
    <col min="3" max="3" width="17.21875" bestFit="1" customWidth="1"/>
    <col min="4" max="4" width="13.21875" bestFit="1" customWidth="1"/>
    <col min="5" max="5" width="13.5546875" bestFit="1" customWidth="1"/>
    <col min="6" max="6" width="13.21875" bestFit="1" customWidth="1"/>
  </cols>
  <sheetData>
    <row r="1" spans="1:15" ht="14.4" customHeight="1" x14ac:dyDescent="0.3">
      <c r="A1" s="5" t="s">
        <v>12</v>
      </c>
      <c r="B1" s="6"/>
      <c r="C1" s="6"/>
      <c r="D1" s="6"/>
      <c r="E1" s="6"/>
      <c r="F1" s="6"/>
      <c r="G1" s="6"/>
      <c r="H1" s="6"/>
      <c r="I1" s="6"/>
      <c r="J1" s="6"/>
      <c r="K1" s="6"/>
      <c r="L1" s="6"/>
      <c r="M1" s="6"/>
      <c r="N1" s="6"/>
      <c r="O1" s="6"/>
    </row>
    <row r="2" spans="1:15" x14ac:dyDescent="0.3">
      <c r="A2" s="6"/>
      <c r="B2" s="6"/>
      <c r="C2" s="6"/>
      <c r="D2" s="6"/>
      <c r="E2" s="6"/>
      <c r="F2" s="6"/>
      <c r="G2" s="6"/>
      <c r="H2" s="6"/>
      <c r="I2" s="6"/>
      <c r="J2" s="6"/>
      <c r="K2" s="6"/>
      <c r="L2" s="6"/>
      <c r="M2" s="6"/>
      <c r="N2" s="6"/>
      <c r="O2" s="6"/>
    </row>
    <row r="3" spans="1:15" ht="16.2" customHeight="1" x14ac:dyDescent="0.3">
      <c r="A3" s="6"/>
      <c r="B3" s="6"/>
      <c r="C3" s="6"/>
      <c r="D3" s="6"/>
      <c r="E3" s="6"/>
      <c r="F3" s="6"/>
      <c r="G3" s="6"/>
      <c r="H3" s="6"/>
      <c r="I3" s="6"/>
      <c r="J3" s="6"/>
      <c r="K3" s="6"/>
      <c r="L3" s="6"/>
      <c r="M3" s="6"/>
      <c r="N3" s="6"/>
      <c r="O3" s="6"/>
    </row>
    <row r="4" spans="1:15" ht="22.8" customHeight="1" x14ac:dyDescent="0.3">
      <c r="A4" s="6"/>
      <c r="B4" s="6"/>
      <c r="C4" s="6"/>
      <c r="D4" s="6"/>
      <c r="E4" s="6"/>
      <c r="F4" s="6"/>
      <c r="G4" s="6"/>
      <c r="H4" s="6"/>
      <c r="I4" s="6"/>
      <c r="J4" s="6"/>
      <c r="K4" s="6"/>
      <c r="L4" s="6"/>
      <c r="M4" s="6"/>
      <c r="N4" s="6"/>
      <c r="O4" s="6"/>
    </row>
    <row r="5" spans="1:15" ht="18" x14ac:dyDescent="0.35">
      <c r="A5" s="2" t="s">
        <v>5</v>
      </c>
      <c r="B5" s="2" t="s">
        <v>7</v>
      </c>
      <c r="C5" s="2" t="s">
        <v>8</v>
      </c>
      <c r="D5" s="2" t="s">
        <v>9</v>
      </c>
      <c r="E5" s="2" t="s">
        <v>10</v>
      </c>
      <c r="F5" s="2" t="s">
        <v>11</v>
      </c>
    </row>
    <row r="6" spans="1:15" ht="18" x14ac:dyDescent="0.35">
      <c r="A6" s="3" t="s">
        <v>1</v>
      </c>
      <c r="B6" s="4">
        <f>AVERAGE(Data!B2:B25)</f>
        <v>4.8181093026798125</v>
      </c>
      <c r="C6" s="4">
        <f>MEDIAN(Data!B2:B25)</f>
        <v>5.6128044260491166</v>
      </c>
      <c r="D6" s="4">
        <f>MIN(Data!B2:B25)</f>
        <v>-6.368898405101092</v>
      </c>
      <c r="E6" s="4">
        <f>MAX(Data!B2:B25)</f>
        <v>15.329155740955926</v>
      </c>
      <c r="F6" s="4">
        <f>_xlfn.STDEV.P(Data!B2:B25)</f>
        <v>4.0538320263036187</v>
      </c>
    </row>
    <row r="7" spans="1:15" ht="18" x14ac:dyDescent="0.35">
      <c r="A7" s="3" t="s">
        <v>2</v>
      </c>
      <c r="B7" s="4">
        <f>AVERAGE(Data!C2:C25)</f>
        <v>13.12699876974367</v>
      </c>
      <c r="C7" s="4">
        <f>MEDIAN(Data!C2:C25)</f>
        <v>12.707203466789386</v>
      </c>
      <c r="D7" s="4">
        <f>MIN(Data!C2:C25)</f>
        <v>5.3880079685862636</v>
      </c>
      <c r="E7" s="4">
        <f>MAX(Data!C2:C25)</f>
        <v>24.65955020311397</v>
      </c>
      <c r="F7" s="4">
        <f>_xlfn.STDEV.P(Data!C2:C25)</f>
        <v>4.3683446035849496</v>
      </c>
    </row>
    <row r="8" spans="1:15" ht="18" x14ac:dyDescent="0.35">
      <c r="A8" s="3" t="s">
        <v>3</v>
      </c>
      <c r="B8" s="4">
        <f>AVERAGE(Data!D2:D25)</f>
        <v>4.0923749999999997</v>
      </c>
      <c r="C8" s="4">
        <f>MEDIAN(Data!D2:D25)</f>
        <v>3.7930000000000001</v>
      </c>
      <c r="D8" s="4">
        <f>MIN(Data!D2:D25)</f>
        <v>3.0739999999999998</v>
      </c>
      <c r="E8" s="4">
        <f>MAX(Data!D2:D25)</f>
        <v>5.7140000000000004</v>
      </c>
      <c r="F8" s="4">
        <f>_xlfn.STDEV.P(Data!D2:D25)</f>
        <v>0.64919153648339245</v>
      </c>
    </row>
    <row r="9" spans="1:15" ht="18" x14ac:dyDescent="0.35">
      <c r="A9" s="3" t="s">
        <v>6</v>
      </c>
      <c r="B9" s="3">
        <f>AVERAGE(Data!E2:E25)</f>
        <v>217.59105561095541</v>
      </c>
      <c r="C9" s="3">
        <f>MEDIAN(Data!E2:E25)</f>
        <v>155.58708333333334</v>
      </c>
      <c r="D9" s="3">
        <f>MIN(Data!E2:E25)</f>
        <v>101.6973333333333</v>
      </c>
      <c r="E9" s="3">
        <f>MAX(Data!E2:E25)</f>
        <v>645.19406788320146</v>
      </c>
      <c r="F9" s="3">
        <f>_xlfn.STDEV.P(Data!E2:E25)</f>
        <v>131.05176009564173</v>
      </c>
    </row>
  </sheetData>
  <mergeCells count="1">
    <mergeCell ref="A1:O4"/>
  </mergeCells>
  <pageMargins left="0.7" right="0.7" top="0.75" bottom="0.75" header="0.3" footer="0.3"/>
  <pageSetup orientation="portrait" horizontalDpi="4294967295" verticalDpi="4294967295"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Analysis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dc:creator>
  <cp:lastModifiedBy>WELCOME</cp:lastModifiedBy>
  <dcterms:created xsi:type="dcterms:W3CDTF">2026-04-17T09:03:23Z</dcterms:created>
  <dcterms:modified xsi:type="dcterms:W3CDTF">2026-04-23T12:32:18Z</dcterms:modified>
</cp:coreProperties>
</file>